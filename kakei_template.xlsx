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費の棚卸し" sheetId="1" state="visible" r:id="rId1"/>
    <sheet xmlns:r="http://schemas.openxmlformats.org/officeDocument/2006/relationships" name="つみたてシミュレーショ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A2B4C"/>
      </patternFill>
    </fill>
    <fill>
      <patternFill patternType="solid">
        <fgColor rgb="00FFF8CD"/>
      </patternFill>
    </fill>
    <fill>
      <patternFill patternType="solid">
        <fgColor rgb="00D4AF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>
      <c r="A1" s="1" t="inlineStr">
        <is>
          <t>固定費の棚卸しテンプレ｜30代パパの投資ラボ</t>
        </is>
      </c>
    </row>
    <row r="2">
      <c r="A2" t="inlineStr">
        <is>
          <t>使い方：黄色いセルに数字を入れるだけ。差額と年間額は自動計算されます。</t>
        </is>
      </c>
    </row>
    <row r="4">
      <c r="A4" s="2" t="inlineStr">
        <is>
          <t>項目</t>
        </is>
      </c>
      <c r="B4" s="2" t="inlineStr">
        <is>
          <t>今の月額(円)</t>
        </is>
      </c>
      <c r="C4" s="2" t="inlineStr">
        <is>
          <t>見直し後(円)</t>
        </is>
      </c>
      <c r="D4" s="2" t="inlineStr">
        <is>
          <t>差額(円/月)</t>
        </is>
      </c>
      <c r="E4" s="2" t="inlineStr">
        <is>
          <t>メモ（何のため？・見直し案）</t>
        </is>
      </c>
    </row>
    <row r="5">
      <c r="A5" s="3" t="inlineStr">
        <is>
          <t>通信費（スマホ＋Wi-Fi）</t>
        </is>
      </c>
      <c r="B5" s="4" t="n">
        <v>15000</v>
      </c>
      <c r="C5" s="4" t="n">
        <v>8000</v>
      </c>
      <c r="D5" s="3">
        <f>B5-C5</f>
        <v/>
      </c>
      <c r="E5" s="3" t="inlineStr">
        <is>
          <t>例：格安SIMへ乗り換え</t>
        </is>
      </c>
    </row>
    <row r="6">
      <c r="A6" s="3" t="inlineStr">
        <is>
          <t>保険（生命・医療・がん等）</t>
        </is>
      </c>
      <c r="B6" s="4" t="n">
        <v>18000</v>
      </c>
      <c r="C6" s="4" t="n">
        <v>11000</v>
      </c>
      <c r="D6" s="3">
        <f>B6-C6</f>
        <v/>
      </c>
      <c r="E6" s="3" t="inlineStr">
        <is>
          <t>例：目的を言えない特約を整理</t>
        </is>
      </c>
    </row>
    <row r="7">
      <c r="A7" s="3" t="inlineStr">
        <is>
          <t>サブスク合計</t>
        </is>
      </c>
      <c r="B7" s="4" t="n">
        <v>3000</v>
      </c>
      <c r="C7" s="4" t="n">
        <v>1500</v>
      </c>
      <c r="D7" s="3">
        <f>B7-C7</f>
        <v/>
      </c>
      <c r="E7" s="3" t="inlineStr">
        <is>
          <t>例：3ヶ月使っていない物を解約</t>
        </is>
      </c>
    </row>
    <row r="8">
      <c r="A8" s="3" t="inlineStr">
        <is>
          <t>光熱費（電気・ガス）</t>
        </is>
      </c>
      <c r="B8" s="4" t="n">
        <v>18000</v>
      </c>
      <c r="C8" s="4" t="n">
        <v>16000</v>
      </c>
      <c r="D8" s="3">
        <f>B8-C8</f>
        <v/>
      </c>
      <c r="E8" s="3" t="inlineStr">
        <is>
          <t>例：プラン変更</t>
        </is>
      </c>
    </row>
    <row r="9">
      <c r="A9" s="3" t="inlineStr">
        <is>
          <t>ふるさと納税（実質の生活費圧縮）</t>
        </is>
      </c>
      <c r="B9" s="4" t="n">
        <v>0</v>
      </c>
      <c r="C9" s="4" t="n">
        <v>-3000</v>
      </c>
      <c r="D9" s="3">
        <f>B9-C9</f>
        <v/>
      </c>
      <c r="E9" s="3" t="inlineStr">
        <is>
          <t>例：米・日用品の返礼品</t>
        </is>
      </c>
    </row>
    <row r="10">
      <c r="A10" s="3" t="inlineStr">
        <is>
          <t>その他1</t>
        </is>
      </c>
      <c r="B10" s="4" t="n">
        <v>0</v>
      </c>
      <c r="C10" s="4" t="n">
        <v>0</v>
      </c>
      <c r="D10" s="3">
        <f>B10-C10</f>
        <v/>
      </c>
      <c r="E10" s="3" t="inlineStr"/>
    </row>
    <row r="11">
      <c r="A11" s="3" t="inlineStr">
        <is>
          <t>その他2</t>
        </is>
      </c>
      <c r="B11" s="4" t="n">
        <v>0</v>
      </c>
      <c r="C11" s="4" t="n">
        <v>0</v>
      </c>
      <c r="D11" s="3">
        <f>B11-C11</f>
        <v/>
      </c>
      <c r="E11" s="3" t="inlineStr"/>
    </row>
    <row r="13">
      <c r="A13" s="5" t="inlineStr">
        <is>
          <t>合計</t>
        </is>
      </c>
      <c r="B13" s="6">
        <f>SUM(B5:B11)</f>
        <v/>
      </c>
      <c r="C13" s="6">
        <f>SUM(C5:C11)</f>
        <v/>
      </c>
      <c r="D13" s="6">
        <f>SUM(D5:D11)</f>
        <v/>
      </c>
      <c r="E13" s="6" t="inlineStr">
        <is>
          <t>← 月のねん出額</t>
        </is>
      </c>
    </row>
    <row r="15">
      <c r="A15" t="inlineStr">
        <is>
          <t>年間に直すと</t>
        </is>
      </c>
      <c r="D15" s="7">
        <f>D13*12</f>
        <v/>
      </c>
      <c r="E15" t="inlineStr">
        <is>
          <t>円/年</t>
        </is>
      </c>
    </row>
  </sheetData>
  <mergeCells count="2"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</cols>
  <sheetData>
    <row r="1">
      <c r="A1" s="1" t="inlineStr">
        <is>
          <t>ねん出した額を積み立てたら？（複利シミュレーション）</t>
        </is>
      </c>
    </row>
    <row r="3">
      <c r="A3" t="inlineStr">
        <is>
          <t>毎月の積立額(円)</t>
        </is>
      </c>
      <c r="B3" s="8" t="n">
        <v>10000</v>
      </c>
      <c r="C3" t="inlineStr">
        <is>
          <t>← 棚卸しシートの差額を入れてみる</t>
        </is>
      </c>
    </row>
    <row r="4">
      <c r="A4" t="inlineStr">
        <is>
          <t>想定年利(%)</t>
        </is>
      </c>
      <c r="B4" s="8" t="n">
        <v>5</v>
      </c>
      <c r="C4" t="inlineStr">
        <is>
          <t>※将来の利回りを保証するものではありません</t>
        </is>
      </c>
    </row>
    <row r="5">
      <c r="A5" t="inlineStr">
        <is>
          <t>積立年数(年)</t>
        </is>
      </c>
      <c r="B5" s="8" t="n">
        <v>20</v>
      </c>
    </row>
    <row r="7">
      <c r="A7" s="7" t="inlineStr">
        <is>
          <t>元本合計</t>
        </is>
      </c>
      <c r="B7" s="7">
        <f>B3*12*B5</f>
        <v/>
      </c>
      <c r="C7" t="inlineStr">
        <is>
          <t>円</t>
        </is>
      </c>
    </row>
    <row r="8">
      <c r="A8" s="7" t="inlineStr">
        <is>
          <t>最終評価額（月複利）</t>
        </is>
      </c>
      <c r="B8" s="7">
        <f>B3*((POWER(1+B4/100/12,B5*12)-1)/(B4/100/12))</f>
        <v/>
      </c>
      <c r="C8" t="inlineStr">
        <is>
          <t>円</t>
        </is>
      </c>
    </row>
    <row r="9">
      <c r="A9" s="7" t="inlineStr">
        <is>
          <t>増えた分</t>
        </is>
      </c>
      <c r="B9" s="7">
        <f>B8-B7</f>
        <v/>
      </c>
      <c r="C9" t="inlineStr">
        <is>
          <t>円</t>
        </is>
      </c>
    </row>
    <row r="11">
      <c r="A11" t="inlineStr">
        <is>
          <t>※学習用の概算です。税・手数料は考慮していません。投資判断はご自身で。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2026-07-05T04:04:20Z</dcterms:created>
  <dcterms:modified xmlns:dcterms="http://purl.org/dc/terms/" xmlns:xsi="http://www.w3.org/2001/XMLSchema-instance" xsi:type="dcterms:W3CDTF">2026-07-05T04:04:20Z</dcterms:modified>
</cp:coreProperties>
</file>